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780"/>
  </bookViews>
  <sheets>
    <sheet name="3---Шторы (3)" sheetId="4" r:id="rId1"/>
    <sheet name="Лист1" sheetId="1" r:id="rId2"/>
    <sheet name="Лист2" sheetId="2" r:id="rId3"/>
    <sheet name="Лист3" sheetId="3" r:id="rId4"/>
  </sheets>
  <calcPr calcId="124519"/>
</workbook>
</file>

<file path=xl/calcChain.xml><?xml version="1.0" encoding="utf-8"?>
<calcChain xmlns="http://schemas.openxmlformats.org/spreadsheetml/2006/main">
  <c r="G69" i="4"/>
  <c r="B69"/>
  <c r="G37"/>
  <c r="B37"/>
</calcChain>
</file>

<file path=xl/sharedStrings.xml><?xml version="1.0" encoding="utf-8"?>
<sst xmlns="http://schemas.openxmlformats.org/spreadsheetml/2006/main" count="142" uniqueCount="99">
  <si>
    <t>ТЗ для штор</t>
  </si>
  <si>
    <t>Описание: Шторы с электроприводом.Электроприводы двух типов(смотри Таб1) . Какие где используем смотри Коды штор в Таб2.</t>
  </si>
  <si>
    <t>Таб1</t>
  </si>
  <si>
    <t>ПРИВОД</t>
  </si>
  <si>
    <t>Коды штор на которых установлен данный привод</t>
  </si>
  <si>
    <t>AM75-1,5/100-EM-GP (радио+фазное упр, сухой контакт)</t>
  </si>
  <si>
    <t xml:space="preserve">          ш2                                                     ( смотри Таб2)</t>
  </si>
  <si>
    <t>AM35-6/28-MEL</t>
  </si>
  <si>
    <t xml:space="preserve">          ш1, ш2,ш3,ш4, ш5,ш6               (смотри Таб2) </t>
  </si>
  <si>
    <t>Управляем приводами при помощи сухих контактов(СОМ, вниз,вверх, стоп). Посмотрю ещё раз контакт 485ого(может и он будет работать)</t>
  </si>
  <si>
    <t xml:space="preserve">На каждом окне где есть шторы с электроприводом их по две штуки, т.к. окно широкое и один привод на такое окно будет работать на износ . Схему расположения штор в окне смотри в Таб2. </t>
  </si>
  <si>
    <t>Для управления шторами выбран модуль Модуль WB-MR6C v.2  (если против-срочно звони мне!!!!!)</t>
  </si>
  <si>
    <t>СХЕМА : колличество штор в каждом окне, виды штор и их коды(для выключателей)</t>
  </si>
  <si>
    <t>Это схема расположения клавиш управления шторами. Таких блоков в одной рамке по дому два: на первом этаже(гостиная) и на втором(холл).</t>
  </si>
  <si>
    <t xml:space="preserve">Но эти два блока управляют разными наборами штор. </t>
  </si>
  <si>
    <t xml:space="preserve"> - ролета(опускается вертикально)</t>
  </si>
  <si>
    <t>Рис1</t>
  </si>
  <si>
    <t>- китайская штора (отодвигается вбок)</t>
  </si>
  <si>
    <t xml:space="preserve"> </t>
  </si>
  <si>
    <r>
      <rPr>
        <b/>
        <sz val="11"/>
        <color theme="1"/>
        <rFont val="Calibri"/>
        <family val="2"/>
        <charset val="204"/>
        <scheme val="minor"/>
      </rPr>
      <t>Таб2</t>
    </r>
    <r>
      <rPr>
        <sz val="11"/>
        <color theme="1"/>
        <rFont val="Calibri"/>
        <family val="2"/>
        <charset val="204"/>
        <scheme val="minor"/>
      </rPr>
      <t xml:space="preserve">  : колличество штор в каждом окне, виды штор и их коды(для выключателей)</t>
    </r>
  </si>
  <si>
    <t>Код шторы</t>
  </si>
  <si>
    <t>Помещение</t>
  </si>
  <si>
    <t>Вид шторы на окне</t>
  </si>
  <si>
    <t>кол-во</t>
  </si>
  <si>
    <t xml:space="preserve">        вверх</t>
  </si>
  <si>
    <t>ID шторы в доме</t>
  </si>
  <si>
    <t>приводов</t>
  </si>
  <si>
    <t>ID/ID/chennel</t>
  </si>
  <si>
    <t>окон</t>
  </si>
  <si>
    <t>код шторы для блока на первом этаже</t>
  </si>
  <si>
    <t>*</t>
  </si>
  <si>
    <t xml:space="preserve">         вниз</t>
  </si>
  <si>
    <t xml:space="preserve">    1/ 2/ 1</t>
  </si>
  <si>
    <t xml:space="preserve">гостиная </t>
  </si>
  <si>
    <t>код шторы для блока на втором этаже</t>
  </si>
  <si>
    <t xml:space="preserve">    3/ 4/ 1</t>
  </si>
  <si>
    <t xml:space="preserve">    5/   / 5</t>
  </si>
  <si>
    <t>выключатель с фиксацией</t>
  </si>
  <si>
    <t>кнопка без фиксации №4</t>
  </si>
  <si>
    <t>тройной №1</t>
  </si>
  <si>
    <t>тройной №2</t>
  </si>
  <si>
    <t>тройной №3</t>
  </si>
  <si>
    <t>с двумя нажатиями</t>
  </si>
  <si>
    <t xml:space="preserve">    6/ 7/ 1</t>
  </si>
  <si>
    <t>кухня</t>
  </si>
  <si>
    <t>сверху и снизу</t>
  </si>
  <si>
    <t xml:space="preserve">Условные обозначения: </t>
  </si>
  <si>
    <t xml:space="preserve">    8/ 9/ 2</t>
  </si>
  <si>
    <t xml:space="preserve">чайная </t>
  </si>
  <si>
    <t>* - в Коде шторы это значит, что я не согласовал каким устройством будем управлять этими клавишами</t>
  </si>
  <si>
    <t xml:space="preserve">   10/11/ 2</t>
  </si>
  <si>
    <t>Кабинет</t>
  </si>
  <si>
    <t>Принцип управления с помощью выключателей ( рисунок 1 выше по тексту)</t>
  </si>
  <si>
    <t xml:space="preserve">__выбираем выключателями 1,2 и 3  с фиксацией штору которой хотим управлять(фиксируем в нижнем положении). </t>
  </si>
  <si>
    <t xml:space="preserve">   12/13/3</t>
  </si>
  <si>
    <t>спальня</t>
  </si>
  <si>
    <t>__ кнопками без фиксации №4(которые справа на схеме выцключателей) выбираем направление движения всех выбранных ранее штор. При нажатии на кн№4 шторы поехали в выбраном  направлении. Нажатие ещё раз вверх или вниз остановит движение штор</t>
  </si>
  <si>
    <t xml:space="preserve">   14/15/4</t>
  </si>
  <si>
    <t>бассейн</t>
  </si>
  <si>
    <t xml:space="preserve">В комнатах где есть электрошторы, для управления ими установлен один переключатель такой же как на Рис1 справа. </t>
  </si>
  <si>
    <t>Команду управления даём сразу на оба привода в этой комнате. А Из приложения управляем отдельно каждым приводом в доме</t>
  </si>
  <si>
    <t>ВСЕГО</t>
  </si>
  <si>
    <t>бас дверь</t>
  </si>
  <si>
    <t>Принципы управления шторами  с помощью кнопок без фиксации одлжны быть одинаковыми для всех штор в доме</t>
  </si>
  <si>
    <t xml:space="preserve">Нужно предусмотреть управление шторами дистанционно из приложения. </t>
  </si>
  <si>
    <t xml:space="preserve">ширина окна технически не позволяет сделать длинную ролету. </t>
  </si>
  <si>
    <t>Систему управления из пиложения можно использовать аналогичную как на рис1 с кнопками. Всего в доме 15 приводов. Заказчик выбрал какими приводами управлять и задал направление движения.</t>
  </si>
  <si>
    <t>Поэтому ролет по две на одном окне</t>
  </si>
  <si>
    <t>Так же в приложениии надо предусмотреть сценарии для штор. Допустим на улице стало темнее чем в доме(по датчикам освещения или по времени суток) шторы закрылись. Утром открылись(время настраивается) Эти настройки продумаю немного позже.Рассмотрю твои предложения</t>
  </si>
  <si>
    <t>Движения штор по сценариям возможно при снятой сигнализации(для тебя сухой контакт) типа люди в доме. Без людей сценарии наверно не запукать.</t>
  </si>
  <si>
    <t>ID шторы это для 485(он же канал для пульта)</t>
  </si>
  <si>
    <t xml:space="preserve">channels 1-16 это для 485 </t>
  </si>
  <si>
    <t>Штора 5 находится близко к камину. Я в камин поставил два датчика : открытия дверцы и датчик температуры.</t>
  </si>
  <si>
    <t>Как только температура внутри камина поднимется до критической (для тебя сработка сухого контакта датчика температуры) все шторы которые рядом с камином должны отьехать от него(открыться)</t>
  </si>
  <si>
    <t>Если дверь камина откроют при затопленом камине(по датчику температуры) штора 5 должна открыться (возможно не целиком)</t>
  </si>
  <si>
    <t>СМОТРЕТЬ НИЖЕ(от 25 октября 2024)</t>
  </si>
  <si>
    <t xml:space="preserve">индивидуальный Вариант управления </t>
  </si>
  <si>
    <t xml:space="preserve">Групповое управление </t>
  </si>
  <si>
    <t xml:space="preserve">     номер шторы </t>
  </si>
  <si>
    <t>(схема ниже)</t>
  </si>
  <si>
    <t xml:space="preserve">         на пульте</t>
  </si>
  <si>
    <t>нет</t>
  </si>
  <si>
    <t>Есть</t>
  </si>
  <si>
    <t>бассейн окно</t>
  </si>
  <si>
    <t xml:space="preserve">кнопка(2) на каждый привод   </t>
  </si>
  <si>
    <t>бассейн дверь</t>
  </si>
  <si>
    <t xml:space="preserve">кнопка(1) на каждый привод или кнопка(1) на оба привода (нужно согласовать с заказчиком)  </t>
  </si>
  <si>
    <t xml:space="preserve">кнопка(1) на каждый привод   </t>
  </si>
  <si>
    <t>есть</t>
  </si>
  <si>
    <r>
      <rPr>
        <sz val="11"/>
        <color rgb="FFFF0000"/>
        <rFont val="Calibri"/>
        <family val="2"/>
        <charset val="204"/>
        <scheme val="minor"/>
      </rPr>
      <t>Расшифровка :</t>
    </r>
    <r>
      <rPr>
        <sz val="11"/>
        <color theme="1"/>
        <rFont val="Calibri"/>
        <family val="2"/>
        <charset val="204"/>
        <scheme val="minor"/>
      </rPr>
      <t xml:space="preserve">  Кнопка(1) - эта кнопка как для освещения с двумя контактами (Сом, контакт1(нажимается только вниз)) </t>
    </r>
  </si>
  <si>
    <t xml:space="preserve">                                 Кнопка(2) - эта кнопка-качелька с тремя контактами ( Сом, контакт1, контакт2(нажимается вверх и вниз))  Одновременно замыкается только Сом и конт1 или Сом и конт2</t>
  </si>
  <si>
    <t>№ кнопки</t>
  </si>
  <si>
    <t xml:space="preserve">     10                  вверх</t>
  </si>
  <si>
    <t>№ шторы для блока на первом этаже</t>
  </si>
  <si>
    <t xml:space="preserve">      11                  вниз</t>
  </si>
  <si>
    <t>№ шторы для блока на втором этаже</t>
  </si>
  <si>
    <t>с двумя нажатиями(вверх и вниз)</t>
  </si>
  <si>
    <t>по номерам в 485</t>
  </si>
  <si>
    <t>Коды штор заполни свои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</si>
</sst>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sz val="36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0" xfId="0" applyFont="1" applyBorder="1"/>
    <xf numFmtId="0" fontId="0" fillId="0" borderId="0" xfId="0" applyAlignment="1">
      <alignment horizontal="center"/>
    </xf>
    <xf numFmtId="0" fontId="5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6" fillId="0" borderId="4" xfId="0" applyFont="1" applyBorder="1" applyAlignment="1">
      <alignment horizontal="left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5" fillId="0" borderId="11" xfId="0" applyFont="1" applyBorder="1"/>
    <xf numFmtId="0" fontId="5" fillId="0" borderId="12" xfId="0" applyFont="1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5" xfId="0" applyBorder="1"/>
    <xf numFmtId="0" fontId="5" fillId="0" borderId="0" xfId="0" applyFont="1" applyFill="1" applyBorder="1"/>
    <xf numFmtId="0" fontId="0" fillId="0" borderId="0" xfId="0" applyBorder="1"/>
    <xf numFmtId="0" fontId="7" fillId="0" borderId="16" xfId="0" applyFont="1" applyBorder="1"/>
    <xf numFmtId="0" fontId="0" fillId="2" borderId="0" xfId="0" applyFill="1" applyAlignment="1">
      <alignment horizontal="center"/>
    </xf>
    <xf numFmtId="0" fontId="2" fillId="0" borderId="0" xfId="0" applyFont="1"/>
    <xf numFmtId="0" fontId="0" fillId="3" borderId="16" xfId="0" applyFill="1" applyBorder="1" applyAlignment="1">
      <alignment horizontal="center"/>
    </xf>
    <xf numFmtId="49" fontId="0" fillId="0" borderId="0" xfId="0" applyNumberFormat="1"/>
    <xf numFmtId="0" fontId="0" fillId="0" borderId="17" xfId="0" applyBorder="1"/>
    <xf numFmtId="0" fontId="0" fillId="0" borderId="18" xfId="0" applyBorder="1"/>
    <xf numFmtId="0" fontId="0" fillId="4" borderId="19" xfId="0" applyFill="1" applyBorder="1"/>
    <xf numFmtId="0" fontId="0" fillId="4" borderId="20" xfId="0" applyFill="1" applyBorder="1"/>
    <xf numFmtId="0" fontId="0" fillId="4" borderId="18" xfId="0" applyFill="1" applyBorder="1"/>
    <xf numFmtId="0" fontId="0" fillId="5" borderId="21" xfId="0" applyFill="1" applyBorder="1"/>
    <xf numFmtId="0" fontId="0" fillId="0" borderId="16" xfId="0" applyBorder="1" applyAlignment="1">
      <alignment horizontal="center"/>
    </xf>
    <xf numFmtId="0" fontId="0" fillId="0" borderId="9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4" borderId="24" xfId="0" applyFill="1" applyBorder="1"/>
    <xf numFmtId="0" fontId="0" fillId="4" borderId="0" xfId="0" applyFill="1" applyBorder="1"/>
    <xf numFmtId="0" fontId="0" fillId="4" borderId="23" xfId="0" applyFill="1" applyBorder="1"/>
    <xf numFmtId="0" fontId="0" fillId="5" borderId="25" xfId="0" applyFill="1" applyBorder="1"/>
    <xf numFmtId="0" fontId="0" fillId="0" borderId="0" xfId="0" applyFill="1" applyBorder="1"/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/>
    <xf numFmtId="0" fontId="0" fillId="6" borderId="0" xfId="0" applyFill="1"/>
    <xf numFmtId="0" fontId="0" fillId="6" borderId="2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16" xfId="0" applyBorder="1" applyAlignment="1">
      <alignment horizontal="left"/>
    </xf>
    <xf numFmtId="0" fontId="3" fillId="2" borderId="0" xfId="0" applyFont="1" applyFill="1"/>
    <xf numFmtId="0" fontId="0" fillId="7" borderId="0" xfId="0" applyFill="1"/>
    <xf numFmtId="0" fontId="0" fillId="7" borderId="22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16" fontId="0" fillId="5" borderId="16" xfId="0" applyNumberFormat="1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6" fillId="0" borderId="0" xfId="0" applyFont="1"/>
    <xf numFmtId="0" fontId="0" fillId="4" borderId="29" xfId="0" applyFill="1" applyBorder="1"/>
    <xf numFmtId="0" fontId="0" fillId="0" borderId="0" xfId="0" applyAlignment="1">
      <alignment horizontal="left"/>
    </xf>
    <xf numFmtId="0" fontId="8" fillId="0" borderId="0" xfId="0" applyFont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0" xfId="0" applyFill="1"/>
    <xf numFmtId="0" fontId="0" fillId="0" borderId="16" xfId="0" applyBorder="1"/>
    <xf numFmtId="0" fontId="3" fillId="0" borderId="16" xfId="0" applyFont="1" applyFill="1" applyBorder="1"/>
    <xf numFmtId="0" fontId="0" fillId="0" borderId="0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2505075</xdr:colOff>
      <xdr:row>17</xdr:row>
      <xdr:rowOff>95250</xdr:rowOff>
    </xdr:from>
    <xdr:to>
      <xdr:col>24</xdr:col>
      <xdr:colOff>200025</xdr:colOff>
      <xdr:row>23</xdr:row>
      <xdr:rowOff>114300</xdr:rowOff>
    </xdr:to>
    <xdr:sp macro="" textlink="">
      <xdr:nvSpPr>
        <xdr:cNvPr id="2" name="Прямоугольник 1"/>
        <xdr:cNvSpPr/>
      </xdr:nvSpPr>
      <xdr:spPr>
        <a:xfrm>
          <a:off x="7858125" y="3524250"/>
          <a:ext cx="9458325" cy="11811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2505075</xdr:colOff>
      <xdr:row>72</xdr:row>
      <xdr:rowOff>95250</xdr:rowOff>
    </xdr:from>
    <xdr:to>
      <xdr:col>24</xdr:col>
      <xdr:colOff>200025</xdr:colOff>
      <xdr:row>78</xdr:row>
      <xdr:rowOff>114300</xdr:rowOff>
    </xdr:to>
    <xdr:sp macro="" textlink="">
      <xdr:nvSpPr>
        <xdr:cNvPr id="3" name="Прямоугольник 2"/>
        <xdr:cNvSpPr/>
      </xdr:nvSpPr>
      <xdr:spPr>
        <a:xfrm>
          <a:off x="7858125" y="14439900"/>
          <a:ext cx="9458325" cy="12001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X81"/>
  <sheetViews>
    <sheetView tabSelected="1" topLeftCell="A40" workbookViewId="0">
      <selection activeCell="B75" sqref="B75"/>
    </sheetView>
  </sheetViews>
  <sheetFormatPr defaultRowHeight="15"/>
  <cols>
    <col min="1" max="1" width="16" customWidth="1"/>
    <col min="2" max="2" width="9.140625" style="2"/>
    <col min="3" max="3" width="14.42578125" style="2" customWidth="1"/>
    <col min="5" max="5" width="1" customWidth="1"/>
    <col min="6" max="6" width="10" customWidth="1"/>
    <col min="7" max="7" width="11.42578125" style="2" customWidth="1"/>
    <col min="9" max="9" width="39.28515625" customWidth="1"/>
  </cols>
  <sheetData>
    <row r="3" spans="1:10" ht="28.5">
      <c r="A3" s="1" t="s">
        <v>0</v>
      </c>
    </row>
    <row r="4" spans="1:10" s="5" customFormat="1">
      <c r="A4" s="3" t="s">
        <v>1</v>
      </c>
      <c r="B4" s="4"/>
      <c r="C4" s="4"/>
      <c r="G4" s="4"/>
    </row>
    <row r="5" spans="1:10" s="5" customFormat="1" ht="15.75" thickBot="1">
      <c r="A5" s="6" t="s">
        <v>2</v>
      </c>
      <c r="B5" s="4"/>
      <c r="C5" s="4"/>
      <c r="G5" s="4"/>
    </row>
    <row r="6" spans="1:10" s="5" customFormat="1">
      <c r="A6" s="7" t="s">
        <v>3</v>
      </c>
      <c r="B6" s="8"/>
      <c r="C6" s="8"/>
      <c r="D6" s="9"/>
      <c r="E6" s="9"/>
      <c r="F6" s="10"/>
      <c r="G6" s="11" t="s">
        <v>4</v>
      </c>
      <c r="H6" s="12"/>
      <c r="I6" s="13"/>
    </row>
    <row r="7" spans="1:10">
      <c r="A7" s="14" t="s">
        <v>5</v>
      </c>
      <c r="B7" s="15"/>
      <c r="C7" s="16"/>
      <c r="D7" s="17"/>
      <c r="E7" s="17"/>
      <c r="F7" s="18"/>
      <c r="G7" s="19" t="s">
        <v>6</v>
      </c>
      <c r="H7" s="17"/>
      <c r="I7" s="20"/>
    </row>
    <row r="8" spans="1:10" ht="15.75" thickBot="1">
      <c r="A8" s="21" t="s">
        <v>7</v>
      </c>
      <c r="B8" s="22"/>
      <c r="C8" s="23"/>
      <c r="D8" s="24"/>
      <c r="E8" s="24"/>
      <c r="F8" s="25"/>
      <c r="G8" s="26" t="s">
        <v>8</v>
      </c>
      <c r="H8" s="24"/>
      <c r="I8" s="27"/>
    </row>
    <row r="9" spans="1:10">
      <c r="A9" s="28" t="s">
        <v>9</v>
      </c>
    </row>
    <row r="10" spans="1:10">
      <c r="A10" s="29" t="s">
        <v>10</v>
      </c>
    </row>
    <row r="11" spans="1:10">
      <c r="A11" s="28"/>
    </row>
    <row r="12" spans="1:10">
      <c r="A12" s="29"/>
    </row>
    <row r="13" spans="1:10">
      <c r="A13" s="30" t="s">
        <v>11</v>
      </c>
    </row>
    <row r="15" spans="1:10">
      <c r="A15" t="s">
        <v>12</v>
      </c>
      <c r="J15" t="s">
        <v>13</v>
      </c>
    </row>
    <row r="16" spans="1:10">
      <c r="J16" t="s">
        <v>14</v>
      </c>
    </row>
    <row r="17" spans="1:24">
      <c r="C17" s="31"/>
      <c r="D17" t="s">
        <v>15</v>
      </c>
      <c r="J17" s="32" t="s">
        <v>16</v>
      </c>
    </row>
    <row r="18" spans="1:24" ht="15.75" thickBot="1">
      <c r="C18" s="33"/>
      <c r="D18" s="34" t="s">
        <v>17</v>
      </c>
      <c r="J18" t="s">
        <v>18</v>
      </c>
    </row>
    <row r="19" spans="1:24">
      <c r="A19" t="s">
        <v>19</v>
      </c>
      <c r="J19" s="35"/>
      <c r="K19" s="35"/>
      <c r="L19" s="36"/>
      <c r="M19" s="29"/>
      <c r="N19" s="35"/>
      <c r="O19" s="35"/>
      <c r="P19" s="36"/>
      <c r="Q19" s="29"/>
      <c r="R19" s="35"/>
      <c r="S19" s="35"/>
      <c r="T19" s="36"/>
      <c r="U19" s="29"/>
      <c r="V19" s="37"/>
      <c r="W19" s="38"/>
      <c r="X19" s="39"/>
    </row>
    <row r="20" spans="1:24">
      <c r="A20" s="40" t="s">
        <v>20</v>
      </c>
      <c r="C20" s="41" t="s">
        <v>21</v>
      </c>
      <c r="D20" s="42" t="s">
        <v>22</v>
      </c>
      <c r="E20" s="17"/>
      <c r="F20" s="18"/>
      <c r="G20" s="43" t="s">
        <v>23</v>
      </c>
      <c r="J20" s="44">
        <v>1</v>
      </c>
      <c r="K20" s="44">
        <v>2</v>
      </c>
      <c r="L20" s="45">
        <v>3</v>
      </c>
      <c r="M20" s="29"/>
      <c r="N20" s="44">
        <v>4</v>
      </c>
      <c r="O20" s="44">
        <v>5</v>
      </c>
      <c r="P20" s="45">
        <v>6</v>
      </c>
      <c r="Q20" s="29"/>
      <c r="R20" s="44">
        <v>7</v>
      </c>
      <c r="S20" s="44">
        <v>8</v>
      </c>
      <c r="T20" s="45">
        <v>9</v>
      </c>
      <c r="U20" s="29"/>
      <c r="V20" s="46" t="s">
        <v>24</v>
      </c>
      <c r="W20" s="47"/>
      <c r="X20" s="48"/>
    </row>
    <row r="21" spans="1:24">
      <c r="A21" s="49"/>
      <c r="B21" s="43" t="s">
        <v>23</v>
      </c>
      <c r="C21" s="41"/>
      <c r="D21" s="50" t="s">
        <v>25</v>
      </c>
      <c r="G21" s="51" t="s">
        <v>26</v>
      </c>
      <c r="J21" s="44"/>
      <c r="K21" s="44"/>
      <c r="L21" s="45"/>
      <c r="M21" s="52"/>
      <c r="N21" s="44"/>
      <c r="O21" s="44"/>
      <c r="P21" s="45"/>
      <c r="Q21" s="52"/>
      <c r="R21" s="44"/>
      <c r="S21" s="44"/>
      <c r="T21" s="45"/>
      <c r="U21" s="29"/>
      <c r="V21" s="46"/>
      <c r="W21" s="47"/>
      <c r="X21" s="48"/>
    </row>
    <row r="22" spans="1:24">
      <c r="A22" s="53" t="s">
        <v>27</v>
      </c>
      <c r="B22" s="51" t="s">
        <v>28</v>
      </c>
      <c r="C22" s="41"/>
      <c r="G22" s="41"/>
      <c r="I22" s="54" t="s">
        <v>29</v>
      </c>
      <c r="J22" s="55">
        <v>1</v>
      </c>
      <c r="K22" s="55">
        <v>2</v>
      </c>
      <c r="L22" s="55">
        <v>3</v>
      </c>
      <c r="M22" s="55"/>
      <c r="N22" s="55">
        <v>4</v>
      </c>
      <c r="O22" s="55">
        <v>5</v>
      </c>
      <c r="P22" s="55">
        <v>6</v>
      </c>
      <c r="Q22" s="56"/>
      <c r="R22" s="55">
        <v>7</v>
      </c>
      <c r="S22" s="55" t="s">
        <v>30</v>
      </c>
      <c r="T22" s="55" t="s">
        <v>30</v>
      </c>
      <c r="U22" s="29"/>
      <c r="V22" s="46" t="s">
        <v>31</v>
      </c>
      <c r="W22" s="47"/>
      <c r="X22" s="48"/>
    </row>
    <row r="23" spans="1:24" ht="15.75" thickBot="1">
      <c r="A23" s="53" t="s">
        <v>32</v>
      </c>
      <c r="B23" s="41">
        <v>1</v>
      </c>
      <c r="C23" s="57" t="s">
        <v>33</v>
      </c>
      <c r="D23" s="58">
        <v>1</v>
      </c>
      <c r="F23" s="58">
        <v>2</v>
      </c>
      <c r="G23" s="41">
        <v>2</v>
      </c>
      <c r="I23" s="59" t="s">
        <v>34</v>
      </c>
      <c r="J23" s="60">
        <v>1</v>
      </c>
      <c r="K23" s="60">
        <v>2</v>
      </c>
      <c r="L23" s="60">
        <v>3</v>
      </c>
      <c r="M23" s="60"/>
      <c r="N23" s="60">
        <v>4</v>
      </c>
      <c r="O23" s="60">
        <v>5</v>
      </c>
      <c r="P23" s="60">
        <v>6</v>
      </c>
      <c r="Q23" s="61"/>
      <c r="R23" s="60">
        <v>7</v>
      </c>
      <c r="S23" s="60">
        <v>8</v>
      </c>
      <c r="T23" s="60">
        <v>9</v>
      </c>
      <c r="U23" s="29"/>
      <c r="V23" s="62"/>
      <c r="W23" s="63"/>
      <c r="X23" s="64"/>
    </row>
    <row r="24" spans="1:24">
      <c r="A24" s="53" t="s">
        <v>35</v>
      </c>
      <c r="B24" s="41"/>
      <c r="C24" s="57"/>
      <c r="D24" s="58">
        <v>3</v>
      </c>
      <c r="F24" s="58">
        <v>4</v>
      </c>
      <c r="G24" s="41">
        <v>2</v>
      </c>
    </row>
    <row r="25" spans="1:24">
      <c r="A25" s="65" t="s">
        <v>36</v>
      </c>
      <c r="B25" s="41"/>
      <c r="C25" s="57"/>
      <c r="D25" s="66">
        <v>5</v>
      </c>
      <c r="E25" s="66"/>
      <c r="F25" s="66"/>
      <c r="G25" s="41">
        <v>1</v>
      </c>
      <c r="J25" t="s">
        <v>37</v>
      </c>
      <c r="N25" t="s">
        <v>37</v>
      </c>
      <c r="R25" t="s">
        <v>37</v>
      </c>
      <c r="V25" t="s">
        <v>38</v>
      </c>
    </row>
    <row r="26" spans="1:24">
      <c r="A26" s="53"/>
      <c r="B26" s="41"/>
      <c r="C26" s="57"/>
      <c r="G26" s="41"/>
      <c r="J26" t="s">
        <v>39</v>
      </c>
      <c r="N26" t="s">
        <v>40</v>
      </c>
      <c r="R26" t="s">
        <v>41</v>
      </c>
      <c r="V26" t="s">
        <v>42</v>
      </c>
    </row>
    <row r="27" spans="1:24">
      <c r="A27" s="53" t="s">
        <v>43</v>
      </c>
      <c r="B27" s="41">
        <v>1</v>
      </c>
      <c r="C27" s="57" t="s">
        <v>44</v>
      </c>
      <c r="D27" s="58">
        <v>6</v>
      </c>
      <c r="F27" s="58">
        <v>7</v>
      </c>
      <c r="G27" s="41">
        <v>2</v>
      </c>
      <c r="V27" t="s">
        <v>45</v>
      </c>
    </row>
    <row r="28" spans="1:24">
      <c r="A28" s="53"/>
      <c r="B28" s="41"/>
      <c r="C28" s="57"/>
      <c r="G28" s="41"/>
      <c r="J28" t="s">
        <v>46</v>
      </c>
    </row>
    <row r="29" spans="1:24">
      <c r="A29" s="53" t="s">
        <v>47</v>
      </c>
      <c r="B29" s="41">
        <v>1</v>
      </c>
      <c r="C29" s="57" t="s">
        <v>48</v>
      </c>
      <c r="D29" s="58">
        <v>8</v>
      </c>
      <c r="F29" s="58">
        <v>9</v>
      </c>
      <c r="G29" s="41">
        <v>2</v>
      </c>
      <c r="J29" t="s">
        <v>49</v>
      </c>
    </row>
    <row r="30" spans="1:24">
      <c r="A30" s="53"/>
      <c r="B30" s="41"/>
      <c r="C30" s="57"/>
      <c r="G30" s="41"/>
    </row>
    <row r="31" spans="1:24">
      <c r="A31" s="53" t="s">
        <v>50</v>
      </c>
      <c r="B31" s="41">
        <v>1</v>
      </c>
      <c r="C31" s="57" t="s">
        <v>51</v>
      </c>
      <c r="D31" s="58">
        <v>10</v>
      </c>
      <c r="F31" s="58">
        <v>11</v>
      </c>
      <c r="G31" s="41">
        <v>2</v>
      </c>
      <c r="J31" s="67" t="s">
        <v>52</v>
      </c>
    </row>
    <row r="32" spans="1:24">
      <c r="A32" s="53"/>
      <c r="B32" s="41"/>
      <c r="C32" s="57"/>
      <c r="G32" s="41"/>
      <c r="J32" t="s">
        <v>53</v>
      </c>
    </row>
    <row r="33" spans="1:23">
      <c r="A33" s="53" t="s">
        <v>54</v>
      </c>
      <c r="B33" s="41">
        <v>1</v>
      </c>
      <c r="C33" s="57" t="s">
        <v>55</v>
      </c>
      <c r="D33" s="58">
        <v>12</v>
      </c>
      <c r="F33" s="58">
        <v>13</v>
      </c>
      <c r="G33" s="41">
        <v>2</v>
      </c>
      <c r="J33" t="s">
        <v>56</v>
      </c>
    </row>
    <row r="34" spans="1:23" ht="15.75" thickBot="1">
      <c r="A34" s="53"/>
      <c r="B34" s="41"/>
      <c r="C34" s="57"/>
      <c r="G34" s="41"/>
    </row>
    <row r="35" spans="1:23" ht="15.75" thickBot="1">
      <c r="A35" s="53" t="s">
        <v>57</v>
      </c>
      <c r="B35" s="41">
        <v>1</v>
      </c>
      <c r="C35" s="57" t="s">
        <v>58</v>
      </c>
      <c r="D35" s="58">
        <v>14</v>
      </c>
      <c r="F35" s="58">
        <v>15</v>
      </c>
      <c r="G35" s="41">
        <v>2</v>
      </c>
      <c r="J35" t="s">
        <v>59</v>
      </c>
      <c r="V35" s="68"/>
      <c r="W35" t="s">
        <v>60</v>
      </c>
    </row>
    <row r="36" spans="1:23">
      <c r="A36" t="s">
        <v>61</v>
      </c>
      <c r="B36" s="41">
        <v>1</v>
      </c>
      <c r="C36" s="19" t="s">
        <v>62</v>
      </c>
      <c r="D36" s="17"/>
      <c r="E36" s="17"/>
      <c r="F36" s="58">
        <v>16</v>
      </c>
      <c r="G36" s="41">
        <v>1</v>
      </c>
      <c r="J36" t="s">
        <v>63</v>
      </c>
    </row>
    <row r="37" spans="1:23">
      <c r="B37" s="41">
        <f>SUM(B23:B36)</f>
        <v>7</v>
      </c>
      <c r="G37" s="41">
        <f>SUM(G23:G36)</f>
        <v>16</v>
      </c>
      <c r="J37" s="32" t="s">
        <v>64</v>
      </c>
    </row>
    <row r="38" spans="1:23">
      <c r="B38" s="69" t="s">
        <v>65</v>
      </c>
      <c r="J38" t="s">
        <v>66</v>
      </c>
    </row>
    <row r="39" spans="1:23">
      <c r="B39" s="69" t="s">
        <v>67</v>
      </c>
      <c r="J39" t="s">
        <v>68</v>
      </c>
    </row>
    <row r="40" spans="1:23">
      <c r="J40" t="s">
        <v>69</v>
      </c>
    </row>
    <row r="41" spans="1:23">
      <c r="B41" s="69" t="s">
        <v>70</v>
      </c>
    </row>
    <row r="42" spans="1:23">
      <c r="B42" s="69" t="s">
        <v>71</v>
      </c>
      <c r="J42" t="s">
        <v>72</v>
      </c>
    </row>
    <row r="43" spans="1:23">
      <c r="J43" t="s">
        <v>73</v>
      </c>
    </row>
    <row r="44" spans="1:23">
      <c r="J44" t="s">
        <v>74</v>
      </c>
    </row>
    <row r="47" spans="1:23">
      <c r="A47" t="s">
        <v>18</v>
      </c>
    </row>
    <row r="48" spans="1:23" ht="46.5">
      <c r="D48" s="70" t="s">
        <v>75</v>
      </c>
    </row>
    <row r="49" spans="1:17">
      <c r="C49" s="52"/>
    </row>
    <row r="50" spans="1:17">
      <c r="C50" s="52"/>
    </row>
    <row r="51" spans="1:17">
      <c r="A51" s="40" t="s">
        <v>20</v>
      </c>
      <c r="C51" s="41" t="s">
        <v>21</v>
      </c>
      <c r="D51" s="42" t="s">
        <v>22</v>
      </c>
      <c r="E51" s="17"/>
      <c r="F51" s="18"/>
      <c r="G51" s="43" t="s">
        <v>23</v>
      </c>
      <c r="I51" s="71" t="s">
        <v>76</v>
      </c>
      <c r="J51" s="72"/>
      <c r="K51" s="72"/>
      <c r="L51" s="72"/>
      <c r="M51" s="72"/>
      <c r="N51" s="73"/>
      <c r="O51" s="71" t="s">
        <v>77</v>
      </c>
      <c r="P51" s="72"/>
      <c r="Q51" s="73"/>
    </row>
    <row r="52" spans="1:17">
      <c r="A52" s="49"/>
      <c r="B52" s="43" t="s">
        <v>23</v>
      </c>
      <c r="C52" s="41"/>
      <c r="D52" s="50" t="s">
        <v>78</v>
      </c>
      <c r="G52" s="51" t="s">
        <v>26</v>
      </c>
      <c r="I52" s="74"/>
      <c r="J52" s="75"/>
      <c r="K52" s="75"/>
      <c r="L52" s="75"/>
      <c r="M52" s="75"/>
      <c r="N52" s="76"/>
      <c r="O52" s="74" t="s">
        <v>79</v>
      </c>
      <c r="P52" s="75"/>
      <c r="Q52" s="76"/>
    </row>
    <row r="53" spans="1:17">
      <c r="A53" s="53" t="s">
        <v>27</v>
      </c>
      <c r="B53" s="51" t="s">
        <v>28</v>
      </c>
      <c r="C53" s="41"/>
      <c r="D53" t="s">
        <v>80</v>
      </c>
      <c r="G53" s="41"/>
      <c r="O53" s="71"/>
      <c r="P53" s="72"/>
      <c r="Q53" s="73"/>
    </row>
    <row r="54" spans="1:17">
      <c r="A54" s="53"/>
      <c r="B54" s="41">
        <v>1</v>
      </c>
      <c r="C54" s="57" t="s">
        <v>33</v>
      </c>
      <c r="D54" s="58">
        <v>1</v>
      </c>
      <c r="F54" s="58">
        <v>2</v>
      </c>
      <c r="G54" s="41">
        <v>2</v>
      </c>
      <c r="I54" s="71" t="s">
        <v>81</v>
      </c>
      <c r="J54" s="72"/>
      <c r="K54" s="72"/>
      <c r="L54" s="72"/>
      <c r="M54" s="72"/>
      <c r="N54" s="73"/>
      <c r="O54" s="71" t="s">
        <v>82</v>
      </c>
      <c r="P54" s="72"/>
      <c r="Q54" s="73"/>
    </row>
    <row r="55" spans="1:17">
      <c r="A55" s="53"/>
      <c r="B55" s="41"/>
      <c r="C55" s="57"/>
      <c r="D55" s="58">
        <v>3</v>
      </c>
      <c r="F55" s="58">
        <v>4</v>
      </c>
      <c r="G55" s="41">
        <v>2</v>
      </c>
      <c r="I55" s="77" t="s">
        <v>81</v>
      </c>
      <c r="J55" s="29"/>
      <c r="K55" s="29"/>
      <c r="L55" s="29"/>
      <c r="M55" s="29"/>
      <c r="N55" s="78"/>
      <c r="O55" s="77" t="s">
        <v>82</v>
      </c>
      <c r="P55" s="29"/>
      <c r="Q55" s="78"/>
    </row>
    <row r="56" spans="1:17">
      <c r="A56" s="65"/>
      <c r="B56" s="41"/>
      <c r="C56" s="57"/>
      <c r="D56" s="66">
        <v>5</v>
      </c>
      <c r="E56" s="66"/>
      <c r="F56" s="66"/>
      <c r="G56" s="41">
        <v>1</v>
      </c>
      <c r="I56" s="74" t="s">
        <v>81</v>
      </c>
      <c r="J56" s="75"/>
      <c r="K56" s="75"/>
      <c r="L56" s="75"/>
      <c r="M56" s="75"/>
      <c r="N56" s="76"/>
      <c r="O56" s="74" t="s">
        <v>82</v>
      </c>
      <c r="P56" s="75"/>
      <c r="Q56" s="76"/>
    </row>
    <row r="57" spans="1:17">
      <c r="A57" s="53"/>
      <c r="B57" s="41"/>
      <c r="C57" s="57"/>
      <c r="G57" s="41"/>
      <c r="O57" s="77"/>
      <c r="P57" s="29"/>
      <c r="Q57" s="78"/>
    </row>
    <row r="58" spans="1:17">
      <c r="A58" s="53"/>
      <c r="B58" s="41">
        <v>1</v>
      </c>
      <c r="C58" s="57" t="s">
        <v>44</v>
      </c>
      <c r="D58" s="58">
        <v>6</v>
      </c>
      <c r="F58" s="58">
        <v>7</v>
      </c>
      <c r="G58" s="41">
        <v>2</v>
      </c>
      <c r="I58" s="42" t="s">
        <v>81</v>
      </c>
      <c r="J58" s="17"/>
      <c r="K58" s="17"/>
      <c r="L58" s="17"/>
      <c r="M58" s="17"/>
      <c r="N58" s="18"/>
      <c r="O58" s="42" t="s">
        <v>82</v>
      </c>
      <c r="P58" s="17"/>
      <c r="Q58" s="18"/>
    </row>
    <row r="59" spans="1:17">
      <c r="A59" s="53"/>
      <c r="B59" s="41"/>
      <c r="C59" s="57"/>
      <c r="G59" s="41"/>
      <c r="O59" s="77"/>
      <c r="P59" s="29"/>
      <c r="Q59" s="78"/>
    </row>
    <row r="60" spans="1:17">
      <c r="A60" s="53"/>
      <c r="B60" s="41">
        <v>1</v>
      </c>
      <c r="C60" s="57" t="s">
        <v>83</v>
      </c>
      <c r="D60" s="58">
        <v>8</v>
      </c>
      <c r="F60" s="58">
        <v>9</v>
      </c>
      <c r="G60" s="41">
        <v>2</v>
      </c>
      <c r="I60" s="71" t="s">
        <v>84</v>
      </c>
      <c r="J60" s="72"/>
      <c r="K60" s="72"/>
      <c r="L60" s="72"/>
      <c r="M60" s="72"/>
      <c r="N60" s="73"/>
      <c r="O60" s="71" t="s">
        <v>81</v>
      </c>
      <c r="P60" s="72"/>
      <c r="Q60" s="73"/>
    </row>
    <row r="61" spans="1:17">
      <c r="A61" s="53"/>
      <c r="B61" s="41">
        <v>1</v>
      </c>
      <c r="C61" s="19" t="s">
        <v>85</v>
      </c>
      <c r="D61" s="79">
        <v>10</v>
      </c>
      <c r="E61" s="66"/>
      <c r="F61" s="80">
        <v>16</v>
      </c>
      <c r="G61" s="41">
        <v>1</v>
      </c>
      <c r="I61" s="74"/>
      <c r="J61" s="75"/>
      <c r="K61" s="75"/>
      <c r="L61" s="75"/>
      <c r="M61" s="75"/>
      <c r="N61" s="76"/>
      <c r="O61" s="74" t="s">
        <v>81</v>
      </c>
      <c r="P61" s="75"/>
      <c r="Q61" s="76"/>
    </row>
    <row r="62" spans="1:17">
      <c r="A62" s="53"/>
      <c r="B62" s="41"/>
      <c r="C62" s="57"/>
      <c r="G62" s="41"/>
      <c r="O62" s="77"/>
      <c r="P62" s="29"/>
      <c r="Q62" s="78"/>
    </row>
    <row r="63" spans="1:17">
      <c r="A63" s="53"/>
      <c r="B63" s="41">
        <v>1</v>
      </c>
      <c r="C63" s="57" t="s">
        <v>55</v>
      </c>
      <c r="D63" s="58">
        <v>11</v>
      </c>
      <c r="F63" s="58">
        <v>12</v>
      </c>
      <c r="G63" s="41">
        <v>2</v>
      </c>
      <c r="I63" s="42" t="s">
        <v>86</v>
      </c>
      <c r="J63" s="17"/>
      <c r="K63" s="17"/>
      <c r="L63" s="17"/>
      <c r="M63" s="17"/>
      <c r="N63" s="18"/>
      <c r="O63" s="42" t="s">
        <v>81</v>
      </c>
      <c r="P63" s="17"/>
      <c r="Q63" s="18"/>
    </row>
    <row r="64" spans="1:17">
      <c r="A64" s="53"/>
      <c r="B64" s="41"/>
      <c r="C64" s="57"/>
      <c r="G64" s="41"/>
      <c r="O64" s="77"/>
      <c r="P64" s="29"/>
      <c r="Q64" s="78"/>
    </row>
    <row r="65" spans="1:24">
      <c r="A65" s="53"/>
      <c r="B65" s="41">
        <v>1</v>
      </c>
      <c r="C65" s="57" t="s">
        <v>48</v>
      </c>
      <c r="D65" s="58">
        <v>13</v>
      </c>
      <c r="F65" s="58">
        <v>14</v>
      </c>
      <c r="G65" s="41">
        <v>2</v>
      </c>
      <c r="I65" s="42" t="s">
        <v>87</v>
      </c>
      <c r="J65" s="17"/>
      <c r="K65" s="17"/>
      <c r="L65" s="17"/>
      <c r="M65" s="17"/>
      <c r="N65" s="18"/>
      <c r="O65" s="42" t="s">
        <v>88</v>
      </c>
      <c r="P65" s="17"/>
      <c r="Q65" s="18"/>
    </row>
    <row r="66" spans="1:24">
      <c r="A66" s="53"/>
      <c r="B66" s="41"/>
      <c r="C66" s="57"/>
      <c r="G66" s="41"/>
      <c r="O66" s="77"/>
      <c r="P66" s="29"/>
      <c r="Q66" s="78"/>
    </row>
    <row r="67" spans="1:24">
      <c r="A67" s="53"/>
      <c r="B67" s="41">
        <v>1</v>
      </c>
      <c r="C67" s="57" t="s">
        <v>51</v>
      </c>
      <c r="D67" s="58">
        <v>15</v>
      </c>
      <c r="F67" s="58">
        <v>16</v>
      </c>
      <c r="G67" s="41">
        <v>2</v>
      </c>
      <c r="I67" s="42" t="s">
        <v>87</v>
      </c>
      <c r="J67" s="17"/>
      <c r="K67" s="17"/>
      <c r="L67" s="17"/>
      <c r="M67" s="17"/>
      <c r="N67" s="18"/>
      <c r="O67" s="42" t="s">
        <v>88</v>
      </c>
      <c r="P67" s="17"/>
      <c r="Q67" s="18"/>
    </row>
    <row r="68" spans="1:24">
      <c r="A68" s="53"/>
      <c r="B68" s="43"/>
      <c r="C68" s="81"/>
      <c r="F68" s="82"/>
      <c r="G68" s="43"/>
    </row>
    <row r="69" spans="1:24">
      <c r="A69" t="s">
        <v>61</v>
      </c>
      <c r="B69" s="41">
        <f>SUM(B54:B68)</f>
        <v>7</v>
      </c>
      <c r="C69" s="57"/>
      <c r="D69" s="83"/>
      <c r="E69" s="83"/>
      <c r="F69" s="84"/>
      <c r="G69" s="41">
        <f>SUM(G54:G68)</f>
        <v>16</v>
      </c>
    </row>
    <row r="70" spans="1:24">
      <c r="B70" s="85"/>
      <c r="C70" s="52"/>
      <c r="D70" s="29"/>
      <c r="E70" s="29"/>
      <c r="F70" s="50"/>
      <c r="G70" s="52"/>
      <c r="I70" t="s">
        <v>89</v>
      </c>
    </row>
    <row r="71" spans="1:24">
      <c r="A71" s="5" t="s">
        <v>98</v>
      </c>
      <c r="I71" t="s">
        <v>90</v>
      </c>
    </row>
    <row r="72" spans="1:24">
      <c r="A72" s="5" t="s">
        <v>97</v>
      </c>
    </row>
    <row r="73" spans="1:24" ht="15.75" thickBot="1">
      <c r="J73" t="s">
        <v>18</v>
      </c>
    </row>
    <row r="74" spans="1:24" ht="15.75" thickBot="1">
      <c r="J74" s="86" t="s">
        <v>91</v>
      </c>
      <c r="K74" s="87"/>
      <c r="L74" s="88"/>
      <c r="M74" s="29"/>
      <c r="N74" s="86" t="s">
        <v>91</v>
      </c>
      <c r="O74" s="87"/>
      <c r="P74" s="88"/>
      <c r="Q74" s="29"/>
      <c r="R74" s="86" t="s">
        <v>91</v>
      </c>
      <c r="S74" s="87"/>
      <c r="T74" s="88"/>
      <c r="U74" s="29"/>
      <c r="V74" s="37" t="s">
        <v>91</v>
      </c>
      <c r="W74" s="38"/>
      <c r="X74" s="39"/>
    </row>
    <row r="75" spans="1:24" ht="15.75" thickBot="1">
      <c r="J75" s="89">
        <v>1</v>
      </c>
      <c r="K75" s="89">
        <v>2</v>
      </c>
      <c r="L75" s="90">
        <v>3</v>
      </c>
      <c r="M75" s="29"/>
      <c r="N75" s="89">
        <v>4</v>
      </c>
      <c r="O75" s="89">
        <v>5</v>
      </c>
      <c r="P75" s="90">
        <v>6</v>
      </c>
      <c r="Q75" s="29"/>
      <c r="R75" s="89">
        <v>7</v>
      </c>
      <c r="S75" s="89">
        <v>8</v>
      </c>
      <c r="T75" s="90">
        <v>9</v>
      </c>
      <c r="U75" s="29"/>
      <c r="V75" s="46" t="s">
        <v>92</v>
      </c>
      <c r="W75" s="47"/>
      <c r="X75" s="48"/>
    </row>
    <row r="76" spans="1:24">
      <c r="J76" s="44"/>
      <c r="K76" s="44"/>
      <c r="L76" s="45"/>
      <c r="M76" s="52"/>
      <c r="N76" s="44"/>
      <c r="O76" s="44"/>
      <c r="P76" s="45"/>
      <c r="Q76" s="52"/>
      <c r="R76" s="44"/>
      <c r="S76" s="44"/>
      <c r="T76" s="45"/>
      <c r="U76" s="29"/>
      <c r="V76" s="46"/>
      <c r="W76" s="47"/>
      <c r="X76" s="48"/>
    </row>
    <row r="77" spans="1:24">
      <c r="I77" s="54" t="s">
        <v>93</v>
      </c>
      <c r="J77" s="55">
        <v>1</v>
      </c>
      <c r="K77" s="55">
        <v>2</v>
      </c>
      <c r="L77" s="55">
        <v>3</v>
      </c>
      <c r="M77" s="55"/>
      <c r="N77" s="55">
        <v>4</v>
      </c>
      <c r="O77" s="55">
        <v>5</v>
      </c>
      <c r="P77" s="55">
        <v>6</v>
      </c>
      <c r="Q77" s="56"/>
      <c r="R77" s="55">
        <v>7</v>
      </c>
      <c r="S77" s="55" t="s">
        <v>30</v>
      </c>
      <c r="T77" s="55" t="s">
        <v>30</v>
      </c>
      <c r="U77" s="29"/>
      <c r="V77" s="46" t="s">
        <v>94</v>
      </c>
      <c r="W77" s="47"/>
      <c r="X77" s="48"/>
    </row>
    <row r="78" spans="1:24" ht="15.75" thickBot="1">
      <c r="I78" s="59" t="s">
        <v>95</v>
      </c>
      <c r="J78" s="60">
        <v>1</v>
      </c>
      <c r="K78" s="60">
        <v>2</v>
      </c>
      <c r="L78" s="60">
        <v>3</v>
      </c>
      <c r="M78" s="60"/>
      <c r="N78" s="60">
        <v>4</v>
      </c>
      <c r="O78" s="60">
        <v>5</v>
      </c>
      <c r="P78" s="60">
        <v>13</v>
      </c>
      <c r="Q78" s="61"/>
      <c r="R78" s="60">
        <v>14</v>
      </c>
      <c r="S78" s="60">
        <v>15</v>
      </c>
      <c r="T78" s="60">
        <v>16</v>
      </c>
      <c r="U78" s="29"/>
      <c r="V78" s="62"/>
      <c r="W78" s="63"/>
      <c r="X78" s="64"/>
    </row>
    <row r="80" spans="1:24">
      <c r="J80" t="s">
        <v>37</v>
      </c>
      <c r="N80" t="s">
        <v>37</v>
      </c>
      <c r="R80" t="s">
        <v>37</v>
      </c>
      <c r="V80" t="s">
        <v>38</v>
      </c>
    </row>
    <row r="81" spans="10:22">
      <c r="J81" t="s">
        <v>39</v>
      </c>
      <c r="N81" t="s">
        <v>40</v>
      </c>
      <c r="R81" t="s">
        <v>41</v>
      </c>
      <c r="V81" t="s">
        <v>96</v>
      </c>
    </row>
  </sheetData>
  <mergeCells count="6">
    <mergeCell ref="D25:F25"/>
    <mergeCell ref="D56:F56"/>
    <mergeCell ref="D61:F61"/>
    <mergeCell ref="J74:L74"/>
    <mergeCell ref="N74:P74"/>
    <mergeCell ref="R74:T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3---Шторы (3)</vt:lpstr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2024-10-26T08:37:47Z</dcterms:created>
  <dcterms:modified xsi:type="dcterms:W3CDTF">2024-10-26T08:49:49Z</dcterms:modified>
</cp:coreProperties>
</file>